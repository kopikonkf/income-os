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7a3756682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ASSUMPTIONS" sheetId="1" r:id="R7b5aaeb67f5148e4"/>
    <x:sheet xmlns:r="http://schemas.openxmlformats.org/officeDocument/2006/relationships" name="SCENARIOS_$1B" sheetId="2" r:id="R1a7d426fe0304e0d"/>
    <x:sheet xmlns:r="http://schemas.openxmlformats.org/officeDocument/2006/relationships" name="COMPOUNDING_36_MONTHS" sheetId="3" r:id="R0410c6fb21494725"/>
    <x:sheet xmlns:r="http://schemas.openxmlformats.org/officeDocument/2006/relationships" name="MODEL_CHECKS" sheetId="4" r:id="R1a255d878aae4456"/>
  </x:sheets>
</x:workbook>
</file>

<file path=xl/comments1.xml><?xml version="1.0" encoding="utf-8"?>
<x:comments xmlns:x="http://schemas.openxmlformats.org/spreadsheetml/2006/main">
  <x:authors>
    <x:author>tc={BC25DA3E-10D5-BDAC-CB7B-3D4063AFFE77}</x:author>
    <x:author>tc={9F2D73AE-54AC-5968-E983-2ECF818D751D}</x:author>
    <x:author>tc={09D1D1FF-816C-1C9E-BFBD-10B1B79363B8}</x:author>
    <x:author>tc={0A160B76-DE7B-CE43-4B2B-773B7CFB728B}</x:author>
  </x:authors>
  <x:commentList>
    <x:comment ref="B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Founder planning hypothesis | Date: 2026-08-24 | Replace with verified license receipts before ERVA claims.</x:t>
        </x:r>
      </x:text>
    </x:comment>
    <x:comment ref="B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Founder sell-through hypothesis | Date: 2026-08-24 | Required evidence: marketplace review and license receipts by accepted asset-day.</x:t>
        </x:r>
      </x:text>
    </x:comment>
    <x:comment ref="B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equal economics across 100 surface-equivalents | Date: 2026-08-24 | Strong extrapolation; not observed revenue.</x:t>
        </x:r>
      </x:text>
    </x:comment>
    <x:comment ref="B1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hybrid/bundle upside case | Date: 2026-08-24 | No bundle conversion or net-cost evidence yet.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&quot;$&quot;#,##0"/>
    <x:numFmt numFmtId="165" formatCode="&quot;$&quot;0.00"/>
    <x:numFmt numFmtId="200" formatCode="#,##0"/>
    <x:numFmt numFmtId="201" formatCode="0.00"/>
    <x:numFmt numFmtId="202" formatCode="&quot;$&quot;0.0000"/>
    <x:numFmt numFmtId="203" formatCode="0.0"/>
    <x:numFmt numFmtId="204" formatCode="0.0000"/>
  </x:numFmts>
  <x:fonts count="19">
    <x:font>
      <x:sz val="11"/>
      <x:color theme="1"/>
      <x:name val="Calibri"/>
    </x:font>
    <x:font>
      <x:b/>
      <x:sz val="14"/>
      <x:color rgb="FFFFFFFF"/>
      <x:name val="Calibri"/>
    </x:font>
    <x:font>
      <x:i/>
      <x:sz val="9"/>
      <x:color rgb="FF404040"/>
    </x:font>
    <x:font>
      <x:b/>
      <x:sz val="10"/>
      <x:color rgb="FFFFFFFF"/>
      <x:name val="Calibri"/>
    </x:font>
    <x:font>
      <x:sz val="10"/>
      <x:name val="Calibri"/>
    </x:font>
    <x:font>
      <x:i/>
      <x:sz val="9"/>
      <x:color rgb="FFC00000"/>
    </x:font>
    <x:font>
      <x:i/>
      <x:sz val="9"/>
      <x:color rgb="FF006100"/>
    </x:font>
    <x:font>
      <x:i/>
      <x:sz val="8"/>
      <x:color rgb="FF404040"/>
    </x:font>
    <x:font>
      <x:i/>
      <x:sz val="8"/>
      <x:color rgb="FFC00000"/>
    </x:font>
    <x:font>
      <x:b/>
      <x:sz val="11"/>
      <x:color rgb="FFFFFFFF"/>
      <x:name val="Calibri"/>
    </x:font>
    <x:font>
      <x:i/>
      <x:sz val="9"/>
      <x:color rgb="FF000000"/>
    </x:font>
    <x:font>
      <x:sz val="11"/>
      <x:color rgb="FF000000"/>
      <x:name val="Calibri"/>
    </x:font>
    <x:font>
      <x:i/>
      <x:sz val="11"/>
      <x:color rgb="FFC00000"/>
      <x:name val="Calibri"/>
    </x:font>
    <x:font>
      <x:i/>
      <x:sz val="11"/>
      <x:color rgb="FF008000"/>
      <x:name val="Calibri"/>
    </x:font>
    <x:font>
      <x:sz val="11"/>
      <x:color rgb="FF0000FF"/>
      <x:name val="Calibri"/>
    </x:font>
    <x:font>
      <x:sz val="10"/>
      <x:color rgb="FF0000FF"/>
      <x:name val="Calibri"/>
    </x:font>
    <x:font>
      <x:sz val="10"/>
      <x:color rgb="FF000000"/>
      <x:name val="Calibri"/>
    </x:font>
    <x:font>
      <x:sz val="10"/>
      <x:color rgb="FF008000"/>
      <x:name val="Calibri"/>
    </x:font>
    <x:font>
      <x:sz val="11"/>
      <x:color rgb="FF008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C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0F243C"/>
      </x:patternFill>
    </x:fill>
  </x:fills>
  <x:borders count="3">
    <x:border/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2" borderId="0" xfId="0" applyAlignment="1">
      <x:alignment horizontal="center" vertical="center"/>
    </x:xf>
    <x:xf numFmtId="164" fontId="0" fillId="0" borderId="0" xfId="0"/>
    <x:xf numFmtId="0" fontId="2" fillId="0" borderId="0" xfId="0"/>
    <x:xf numFmtId="0" fontId="3" fillId="2" borderId="1" xfId="0" applyAlignment="1">
      <x:alignment horizontal="center"/>
    </x:xf>
    <x:xf numFmtId="0" fontId="4" fillId="0" borderId="1" xfId="0" applyAlignment="1">
      <x:alignment vertical="center"/>
    </x:xf>
    <x:xf numFmtId="0" fontId="4" fillId="3" borderId="1" xfId="0" applyAlignment="1">
      <x:alignment vertical="center"/>
    </x:xf>
    <x:xf numFmtId="165" fontId="4" fillId="3" borderId="1" xfId="0" applyAlignment="1">
      <x:alignment vertical="center"/>
    </x:xf>
    <x:xf numFmtId="165" fontId="4" fillId="0" borderId="1" xfId="0" applyAlignment="1">
      <x:alignment vertical="center"/>
    </x:xf>
    <x:xf numFmtId="0" fontId="5" fillId="0" borderId="0" xfId="0"/>
    <x:xf numFmtId="0" fontId="6" fillId="0" borderId="0" xfId="0"/>
    <x:xf numFmtId="0" fontId="3" fillId="2" borderId="1" xfId="0" applyAlignment="1">
      <x:alignment horizontal="center" wrapText="1"/>
    </x:xf>
    <x:xf numFmtId="0" fontId="4" fillId="0" borderId="1" xfId="0" applyAlignment="1">
      <x:alignment horizontal="center" vertical="center" wrapText="1"/>
    </x:xf>
    <x:xf numFmtId="165" fontId="4" fillId="0" borderId="1" xfId="0" applyAlignment="1">
      <x:alignment horizontal="center" vertical="center" wrapText="1"/>
    </x:xf>
    <x:xf numFmtId="3" fontId="4" fillId="0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165" fontId="4" fillId="4" borderId="1" xfId="0" applyAlignment="1">
      <x:alignment horizontal="center" vertical="center" wrapText="1"/>
    </x:xf>
    <x:xf numFmtId="3" fontId="4" fillId="4" borderId="1" xfId="0" applyAlignment="1">
      <x:alignment horizontal="center" vertical="center" wrapText="1"/>
    </x:xf>
    <x:xf numFmtId="0" fontId="7" fillId="0" borderId="0" xfId="0"/>
    <x:xf numFmtId="0" fontId="4" fillId="0" borderId="1" xfId="0" applyAlignment="1">
      <x:alignment horizontal="center"/>
    </x:xf>
    <x:xf numFmtId="3" fontId="4" fillId="0" borderId="1" xfId="0" applyAlignment="1">
      <x:alignment horizontal="center"/>
    </x:xf>
    <x:xf numFmtId="164" fontId="4" fillId="0" borderId="1" xfId="0" applyAlignment="1">
      <x:alignment horizontal="center"/>
    </x:xf>
    <x:xf numFmtId="0" fontId="4" fillId="4" borderId="1" xfId="0" applyAlignment="1">
      <x:alignment horizontal="center"/>
    </x:xf>
    <x:xf numFmtId="3" fontId="4" fillId="4" borderId="1" xfId="0" applyAlignment="1">
      <x:alignment horizontal="center"/>
    </x:xf>
    <x:xf numFmtId="164" fontId="4" fillId="4" borderId="1" xfId="0" applyAlignment="1">
      <x:alignment horizontal="center"/>
    </x:xf>
    <x:xf numFmtId="0" fontId="8" fillId="0" borderId="0" xfId="0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2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0" borderId="2" xfId="0" applyNumberFormat="1" applyFont="1" applyFill="1" applyBorder="1"/>
    <x:xf numFmtId="0" fontId="11" fillId="0" borderId="2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164" fontId="14" fillId="0" borderId="0" xfId="0" applyNumberFormat="1" applyFont="1" applyFill="1" applyBorder="1"/>
    <x:xf numFmtId="0" fontId="15" fillId="0" borderId="1" xfId="0" applyNumberFormat="1" applyFont="1" applyFill="1" applyBorder="1" applyAlignment="1">
      <x:alignment vertical="center"/>
    </x:xf>
    <x:xf numFmtId="165" fontId="15" fillId="3" borderId="1" xfId="0" applyNumberFormat="1" applyFont="1" applyFill="1" applyBorder="1" applyAlignment="1">
      <x:alignment vertical="center"/>
    </x:xf>
    <x:xf numFmtId="165" fontId="16" fillId="3" borderId="1" xfId="0" applyNumberFormat="1" applyFont="1" applyFill="1" applyBorder="1" applyAlignment="1">
      <x:alignment vertical="center"/>
    </x:xf>
    <x:xf numFmtId="165" fontId="16" fillId="0" borderId="1" xfId="0" applyNumberFormat="1" applyFont="1" applyFill="1" applyBorder="1" applyAlignment="1">
      <x:alignment vertical="center"/>
    </x:xf>
    <x:xf numFmtId="165" fontId="15" fillId="0" borderId="1" xfId="0" applyNumberFormat="1" applyFont="1" applyFill="1" applyBorder="1" applyAlignment="1">
      <x:alignment vertical="center"/>
    </x:xf>
    <x:xf numFmtId="0" fontId="14" fillId="0" borderId="2" xfId="0" applyNumberFormat="1" applyFont="1" applyFill="1" applyBorder="1"/>
    <x:xf numFmtId="200" fontId="15" fillId="0" borderId="1" xfId="0" applyNumberFormat="1" applyFont="1" applyFill="1" applyBorder="1" applyAlignment="1">
      <x:alignment vertical="center"/>
    </x:xf>
    <x:xf numFmtId="201" fontId="15" fillId="3" borderId="1" xfId="0" applyNumberFormat="1" applyFont="1" applyFill="1" applyBorder="1" applyAlignment="1">
      <x:alignment vertical="center"/>
    </x:xf>
    <x:xf numFmtId="202" fontId="16" fillId="3" borderId="1" xfId="0" applyNumberFormat="1" applyFont="1" applyFill="1" applyBorder="1" applyAlignment="1">
      <x:alignment vertical="center"/>
    </x:xf>
    <x:xf numFmtId="200" fontId="14" fillId="0" borderId="2" xfId="0" applyNumberFormat="1" applyFont="1" applyFill="1" applyBorder="1"/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horizontal="center" wrapText="1"/>
    </x:xf>
    <x:xf numFmtId="0" fontId="11" fillId="0" borderId="2" xfId="0" applyNumberFormat="1" applyFont="1" applyFill="1" applyBorder="1" applyAlignment="1">
      <x:alignment wrapText="1"/>
    </x:xf>
    <x:xf numFmtId="165" fontId="17" fillId="0" borderId="1" xfId="0" applyNumberFormat="1" applyFont="1" applyFill="1" applyBorder="1" applyAlignment="1">
      <x:alignment horizontal="center" vertical="center" wrapText="1"/>
    </x:xf>
    <x:xf numFmtId="0" fontId="17" fillId="0" borderId="1" xfId="0" applyNumberFormat="1" applyFont="1" applyFill="1" applyBorder="1" applyAlignment="1">
      <x:alignment horizontal="center" vertical="center" wrapText="1"/>
    </x:xf>
    <x:xf numFmtId="3" fontId="17" fillId="0" borderId="1" xfId="0" applyNumberFormat="1" applyFont="1" applyFill="1" applyBorder="1" applyAlignment="1">
      <x:alignment horizontal="center" vertical="center" wrapText="1"/>
    </x:xf>
    <x:xf numFmtId="165" fontId="17" fillId="4" borderId="1" xfId="0" applyNumberFormat="1" applyFont="1" applyFill="1" applyBorder="1" applyAlignment="1">
      <x:alignment horizontal="center" vertical="center" wrapText="1"/>
    </x:xf>
    <x:xf numFmtId="0" fontId="17" fillId="4" borderId="1" xfId="0" applyNumberFormat="1" applyFont="1" applyFill="1" applyBorder="1" applyAlignment="1">
      <x:alignment horizontal="center" vertical="center" wrapText="1"/>
    </x:xf>
    <x:xf numFmtId="3" fontId="17" fillId="4" borderId="1" xfId="0" applyNumberFormat="1" applyFont="1" applyFill="1" applyBorder="1" applyAlignment="1">
      <x:alignment horizontal="center" vertical="center" wrapText="1"/>
    </x:xf>
    <x:xf numFmtId="202" fontId="17" fillId="0" borderId="1" xfId="0" applyNumberFormat="1" applyFont="1" applyFill="1" applyBorder="1" applyAlignment="1">
      <x:alignment horizontal="center" vertical="center" wrapText="1"/>
    </x:xf>
    <x:xf numFmtId="202" fontId="17" fillId="4" borderId="1" xfId="0" applyNumberFormat="1" applyFont="1" applyFill="1" applyBorder="1" applyAlignment="1">
      <x:alignment horizontal="center" vertical="center" wrapText="1"/>
    </x:xf>
    <x:xf numFmtId="200" fontId="17" fillId="0" borderId="1" xfId="0" applyNumberFormat="1" applyFont="1" applyFill="1" applyBorder="1" applyAlignment="1">
      <x:alignment horizontal="center" vertical="center" wrapText="1"/>
    </x:xf>
    <x:xf numFmtId="200" fontId="17" fillId="4" borderId="1" xfId="0" applyNumberFormat="1" applyFont="1" applyFill="1" applyBorder="1" applyAlignment="1">
      <x:alignment horizontal="center" vertical="center" wrapText="1"/>
    </x:xf>
    <x:xf numFmtId="203" fontId="17" fillId="0" borderId="1" xfId="0" applyNumberFormat="1" applyFont="1" applyFill="1" applyBorder="1" applyAlignment="1">
      <x:alignment horizontal="center" vertical="center" wrapText="1"/>
    </x:xf>
    <x:xf numFmtId="203" fontId="17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3" fontId="17" fillId="0" borderId="1" xfId="0" applyNumberFormat="1" applyFont="1" applyFill="1" applyBorder="1" applyAlignment="1">
      <x:alignment horizontal="center"/>
    </x:xf>
    <x:xf numFmtId="164" fontId="17" fillId="0" borderId="1" xfId="0" applyNumberFormat="1" applyFont="1" applyFill="1" applyBorder="1" applyAlignment="1">
      <x:alignment horizontal="center"/>
    </x:xf>
    <x:xf numFmtId="3" fontId="17" fillId="4" borderId="1" xfId="0" applyNumberFormat="1" applyFont="1" applyFill="1" applyBorder="1" applyAlignment="1">
      <x:alignment horizontal="center"/>
    </x:xf>
    <x:xf numFmtId="164" fontId="17" fillId="4" borderId="1" xfId="0" applyNumberFormat="1" applyFont="1" applyFill="1" applyBorder="1" applyAlignment="1">
      <x:alignment horizontal="center"/>
    </x:xf>
    <x:xf numFmtId="3" fontId="16" fillId="0" borderId="1" xfId="0" applyNumberFormat="1" applyFont="1" applyFill="1" applyBorder="1" applyAlignment="1">
      <x:alignment horizontal="center"/>
    </x:xf>
    <x:xf numFmtId="3" fontId="16" fillId="4" borderId="1" xfId="0" applyNumberFormat="1" applyFont="1" applyFill="1" applyBorder="1" applyAlignment="1">
      <x:alignment horizontal="center"/>
    </x:xf>
    <x:xf numFmtId="164" fontId="16" fillId="0" borderId="1" xfId="0" applyNumberFormat="1" applyFont="1" applyFill="1" applyBorder="1" applyAlignment="1">
      <x:alignment horizontal="center"/>
    </x:xf>
    <x:xf numFmtId="164" fontId="16" fillId="4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18" fillId="0" borderId="2" xfId="0" applyNumberFormat="1" applyFont="1" applyFill="1" applyBorder="1"/>
    <x:xf numFmtId="204" fontId="18" fillId="0" borderId="2" xfId="0" applyNumberFormat="1" applyFont="1" applyFill="1" applyBorder="1"/>
    <x:xf numFmtId="204" fontId="0" fillId="0" borderId="2" xfId="0" applyNumberFormat="1" applyFont="1" applyFill="1" applyBorder="1"/>
    <x:xf numFmtId="200" fontId="18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e10827fd74b70" /><Relationship Type="http://schemas.openxmlformats.org/officeDocument/2006/relationships/theme" Target="/xl/theme/theme1.xml" Id="R069a0a0c02e8489d" /><Relationship Type="http://schemas.openxmlformats.org/officeDocument/2006/relationships/sharedStrings" Target="/xl/sharedStrings.xml" Id="R2e56febe5c734e8e" /><Relationship Type="http://schemas.openxmlformats.org/officeDocument/2006/relationships/worksheet" Target="/xl/worksheets/sheet1.xml" Id="R7b5aaeb67f5148e4" /><Relationship Type="http://schemas.openxmlformats.org/officeDocument/2006/relationships/worksheet" Target="/xl/worksheets/sheet2.xml" Id="R1a7d426fe0304e0d" /><Relationship Type="http://schemas.openxmlformats.org/officeDocument/2006/relationships/worksheet" Target="/xl/worksheets/sheet3.xml" Id="R0410c6fb21494725" /><Relationship Type="http://schemas.openxmlformats.org/officeDocument/2006/relationships/worksheet" Target="/xl/worksheets/sheet4.xml" Id="R1a255d878aae4456" /><Relationship Type="http://schemas.microsoft.com/office/2017/10/relationships/person" Target="/xl/persons/person.xml" Id="Rf2d8a91da001447b" /></Relationships>
</file>

<file path=xl/persons/person.xml><?xml version="1.0" encoding="utf-8"?>
<xltc:personList xmlns:xltc="http://schemas.microsoft.com/office/spreadsheetml/2018/threadedcomments">
  <xltc:person displayName="Dee" id="{B15C9366-4CE4-44A3-BB2C-0B643CEA2BF2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2" dT="2026-08-24T05:34:26.969" personId="{B15C9366-4CE4-44A3-BB2C-0B643CEA2BF2}" id="{BC25DA3E-10D5-BDAC-CB7B-3D4063AFFE77}">
    <xltc:text>Assumption: Founder planning hypothesis | Date: 2026-08-24 | Replace with verified license receipts before ERVA claims.</xltc:text>
  </xltc:threadedComment>
  <xltc:threadedComment ref="B13" dT="2026-08-24T05:34:26.969" personId="{B15C9366-4CE4-44A3-BB2C-0B643CEA2BF2}" id="{9F2D73AE-54AC-5968-E983-2ECF818D751D}">
    <xltc:text>Assumption: Founder sell-through hypothesis | Date: 2026-08-24 | Required evidence: marketplace review and license receipts by accepted asset-day.</xltc:text>
  </xltc:threadedComment>
  <xltc:threadedComment ref="B15" dT="2026-08-24T05:34:26.969" personId="{B15C9366-4CE4-44A3-BB2C-0B643CEA2BF2}" id="{09D1D1FF-816C-1C9E-BFBD-10B1B79363B8}">
    <xltc:text>Assumption: equal economics across 100 surface-equivalents | Date: 2026-08-24 | Strong extrapolation; not observed revenue.</xltc:text>
  </xltc:threadedComment>
  <xltc:threadedComment ref="B16" dT="2026-08-24T05:34:26.969" personId="{B15C9366-4CE4-44A3-BB2C-0B643CEA2BF2}" id="{0A160B76-DE7B-CE43-4B2B-773B7CFB728B}">
    <xltc:text>Assumption: hybrid/bundle upside case | Date: 2026-08-24 | No bundle conversion or net-cost evidence yet.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350b26866d9470e" /><Relationship Type="http://schemas.openxmlformats.org/officeDocument/2006/relationships/vmlDrawing" Target="/xl/drawings/vmldrawing.vml" Id="R6d63b0414988419a" /><Relationship Type="http://schemas.microsoft.com/office/2017/10/relationships/threadedComment" Target="/xl/threadedcomments/threadedcomment.xml" Id="Rb889abcdd1f64ad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8" customWidth="1"/>
    <x:col min="3" max="3" width="14" customWidth="1"/>
    <x:col min="4" max="4" width="55" customWidth="1"/>
  </x:cols>
  <x:sheetData>
    <x:row r="1" ht="30" customHeight="1">
      <x:c r="A1" s="1" t="str">
        <x:v>DIGITAL INCOME EMPIRE — $1B SUPPORTING GROSS-REVENUE PROXY (Founder: Dee | M-001)</x:v>
      </x:c>
    </x:row>
    <x:row r="2">
      <x:c r="A2" t="inlineStr">
        <x:is>
          <x:t xml:space="preserve">Target</x:t>
        </x:is>
      </x:c>
      <x:c r="B2" s="38" t="n">
        <x:v>1000000000</x:v>
      </x:c>
    </x:row>
    <x:row r="3">
      <x:c r="A3" s="3" t="str">
        <x:v>Model: inventory compounding across 5 marketplaces and hypothetical future surface-equivalents; Magnific excluded</x:v>
      </x:c>
    </x:row>
    <x:row r="5">
      <x:c r="A5" s="4" t="inlineStr">
        <x:is>
          <x:t xml:space="preserve">Parameter</x:t>
        </x:is>
      </x:c>
      <x:c r="B5" s="4" t="inlineStr">
        <x:is>
          <x:t xml:space="preserve">Value</x:t>
        </x:is>
      </x:c>
      <x:c r="C5" s="4" t="inlineStr">
        <x:is>
          <x:t xml:space="preserve">Unit</x:t>
        </x:is>
      </x:c>
      <x:c r="D5" s="4" t="inlineStr">
        <x:is>
          <x:t xml:space="preserve">Source / Note</x:t>
        </x:is>
      </x:c>
    </x:row>
    <x:row r="6" ht="31" customHeight="1">
      <x:c r="A6" s="5" t="str">
        <x:v>Projection horizon (supporting scenario)</x:v>
      </x:c>
      <x:c r="B6" s="45" t="n">
        <x:v>10</x:v>
      </x:c>
      <x:c r="C6" s="5" t="str">
        <x:v>years</x:v>
      </x:c>
      <x:c r="D6" s="49" t="str">
        <x:v>10-year gross accumulation horizon; not the $1B/3Y Net Profit + Run-rate North Star.</x:v>
      </x:c>
    </x:row>
    <x:row r="7" ht="31" customHeight="1">
      <x:c r="A7" s="5" t="str">
        <x:v>Post-unlock production capacity per division</x:v>
      </x:c>
      <x:c r="B7" s="45" t="n">
        <x:v>100</x:v>
      </x:c>
      <x:c r="C7" s="5" t="str">
        <x:v>assets/day</x:v>
      </x:c>
      <x:c r="D7" s="49" t="str">
        <x:v>Illustrative 50–100/day post-ERVA capacity case; this workbook grants no execution authority.</x:v>
      </x:c>
    </x:row>
    <x:row r="8" ht="31" customHeight="1">
      <x:c r="A8" s="5" t="str">
        <x:v>Active divisions at M-001 start</x:v>
      </x:c>
      <x:c r="B8" s="45" t="n">
        <x:v>1</x:v>
      </x:c>
      <x:c r="C8" s="5" t="str">
        <x:v>division</x:v>
      </x:c>
      <x:c r="D8" s="49" t="str">
        <x:v>Division-01 only; future divisions are outside M-001.</x:v>
      </x:c>
    </x:row>
    <x:row r="9" ht="31" customHeight="1">
      <x:c r="A9" s="5" t="str">
        <x:v>Large-scale division case</x:v>
      </x:c>
      <x:c r="B9" s="45" t="n">
        <x:v>50</x:v>
      </x:c>
      <x:c r="C9" s="5" t="str">
        <x:v>divisions</x:v>
      </x:c>
      <x:c r="D9" s="49" t="str">
        <x:v>Hypothetical capacity case, not an activation plan.</x:v>
      </x:c>
    </x:row>
    <x:row r="10" ht="31" customHeight="1">
      <x:c r="A10" s="5" t="str">
        <x:v>Initial licensing marketplaces</x:v>
      </x:c>
      <x:c r="B10" s="45" t="n">
        <x:v>5</x:v>
      </x:c>
      <x:c r="C10" s="5" t="str">
        <x:v>marketplaces</x:v>
      </x:c>
      <x:c r="D10" s="49" t="str">
        <x:v>Adobe Stock, Dreamstime, 123RF, Vecteezy, MotionElements. Magnific is excluded.</x:v>
      </x:c>
    </x:row>
    <x:row r="11" ht="31" customHeight="1">
      <x:c r="A11" s="5" t="str">
        <x:v>Future revenue surface-equivalents</x:v>
      </x:c>
      <x:c r="B11" s="45" t="n">
        <x:v>100</x:v>
      </x:c>
      <x:c r="C11" s="5" t="str">
        <x:v>surface-equivalents</x:v>
      </x:c>
      <x:c r="D11" s="49" t="str">
        <x:v>Strong planning hypothesis; not 100 verified marketplaces with identical economics.</x:v>
      </x:c>
    </x:row>
    <x:row r="12" ht="31" customHeight="1">
      <x:c r="A12" s="6" t="str">
        <x:v>Average gross royalty per license</x:v>
      </x:c>
      <x:c r="B12" s="40" t="n">
        <x:v>0.5</x:v>
      </x:c>
      <x:c r="C12" s="6" t="str">
        <x:v>USD/license</x:v>
      </x:c>
      <x:c r="D12" s="50" t="str">
        <x:v>Founder planning assumption; not observed M-001 ERVA.</x:v>
      </x:c>
    </x:row>
    <x:row r="13" ht="31" customHeight="1">
      <x:c r="A13" s="6" t="str">
        <x:v>Licenses per 100 asset-days per marketplace</x:v>
      </x:c>
      <x:c r="B13" s="46" t="n">
        <x:v>0.5</x:v>
      </x:c>
      <x:c r="C13" s="6" t="str">
        <x:v>licenses</x:v>
      </x:c>
      <x:c r="D13" s="50" t="str">
        <x:v>Founder sell-through hypothesis; must be replaced by accepted-asset-day receipts.</x:v>
      </x:c>
    </x:row>
    <x:row r="14" ht="31" customHeight="1">
      <x:c r="A14" s="6" t="str">
        <x:v>Gross USD per asset-day (initial cohort)</x:v>
      </x:c>
      <x:c r="B14" s="47" t="n">
        <x:f>B13*B12/100*B10</x:f>
        <x:v>0.0125</x:v>
      </x:c>
      <x:c r="C14" s="6" t="str">
        <x:v>USD/asset-day</x:v>
      </x:c>
      <x:c r="D14" s="50" t="str">
        <x:v>Formula: assumed licenses × royalty ÷ 100 × five marketplaces.</x:v>
      </x:c>
    </x:row>
    <x:row r="15" ht="31" customHeight="1">
      <x:c r="A15" s="5" t="str">
        <x:v>Gross USD per asset-day (100-surface equivalent)</x:v>
      </x:c>
      <x:c r="B15" s="42" t="n">
        <x:f>B14/B10*B11</x:f>
        <x:v>0.25</x:v>
      </x:c>
      <x:c r="C15" s="5" t="str">
        <x:v>USD/asset-day</x:v>
      </x:c>
      <x:c r="D15" s="49" t="str">
        <x:v>Linear equal-economics extrapolation only; excludes unverified Tier-2 income.</x:v>
      </x:c>
    </x:row>
    <x:row r="16" ht="31" customHeight="1">
      <x:c r="A16" s="5" t="str">
        <x:v>Hybrid/bundle gross proxy</x:v>
      </x:c>
      <x:c r="B16" s="43" t="n">
        <x:v>1</x:v>
      </x:c>
      <x:c r="C16" s="5" t="str">
        <x:v>USD/asset-day</x:v>
      </x:c>
      <x:c r="D16" s="49" t="str">
        <x:v>Founder upside hypothesis; bundle take rate and net costs are not yet evidenced.</x:v>
      </x:c>
    </x:row>
    <x:row r="17" ht="31" customHeight="1">
      <x:c r="A17" s="29" t="str">
        <x:v>Scenario helper</x:v>
      </x:c>
      <x:c r="B17" s="29" t="str">
        <x:v>Value</x:v>
      </x:c>
      <x:c r="C17" s="29" t="str">
        <x:v>Unit</x:v>
      </x:c>
      <x:c r="D17" s="51" t="str">
        <x:v>Source / Note</x:v>
      </x:c>
    </x:row>
    <x:row r="18" ht="31" customHeight="1">
      <x:c r="A18" s="32" t="str">
        <x:v>Scenario active divisions</x:v>
      </x:c>
      <x:c r="B18" s="48" t="n">
        <x:v>10</x:v>
      </x:c>
      <x:c r="C18" s="33" t="str">
        <x:v>divisions</x:v>
      </x:c>
      <x:c r="D18" s="52" t="str">
        <x:v>Illustrative workbook case only; no runtime division activation.</x:v>
      </x:c>
    </x:row>
    <x:row r="19" ht="31" customHeight="1">
      <x:c r="A19" s="32" t="str">
        <x:v>Days per model month</x:v>
      </x:c>
      <x:c r="B19" s="48" t="n">
        <x:v>30</x:v>
      </x:c>
      <x:c r="C19" s="33" t="str">
        <x:v>days</x:v>
      </x:c>
      <x:c r="D19" s="52" t="str">
        <x:v>Simplified period convention used by the 36-month gross proxy.</x:v>
      </x:c>
    </x:row>
    <x:row r="21" ht="34" customHeight="1">
      <x:c r="A21" s="35" t="str">
        <x:v>NORTH STAR BOUNDARY: $1B/3Y means Net Profit + annualized run-rate. This workbook is a gross-revenue hypothesis proxy, not proof or forecast.</x:v>
      </x:c>
      <x:c r="B21" s="35"/>
      <x:c r="C21" s="35"/>
      <x:c r="D21" s="35"/>
    </x:row>
    <x:row r="22" ht="34" customHeight="1">
      <x:c r="A22" s="37" t="str">
        <x:v>ZERO TRASH: no economically usable asset is discarded without route evaluation; rights/safety hard failures are quarantined or recreated, never auto-published.</x:v>
      </x:c>
      <x:c r="B22" s="37"/>
      <x:c r="C22" s="37"/>
      <x:c r="D22" s="37"/>
    </x:row>
  </x:sheetData>
  <x:mergeCells>
    <x:mergeCell ref="A3:F3"/>
    <x:mergeCell ref="A1:F1"/>
    <x:mergeCell ref="A21:D21"/>
    <x:mergeCell ref="A22:D22"/>
  </x:mergeCells>
  <x:pageMargins left="0.7" right="0.7" top="0.75" bottom="0.75" header="0.3" footer="0.3"/>
  <x:legacyDrawing xmlns:r="http://schemas.openxmlformats.org/officeDocument/2006/relationships" r:id="R6d63b0414988419a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6" customWidth="1"/>
    <x:col min="3" max="3" width="12" customWidth="1"/>
    <x:col min="4" max="4" width="16" customWidth="1"/>
    <x:col min="5" max="5" width="16" customWidth="1"/>
    <x:col min="6" max="6" width="18" customWidth="1"/>
    <x:col min="7" max="7" width="16" customWidth="1"/>
    <x:col min="8" max="8" width="32" customWidth="1"/>
  </x:cols>
  <x:sheetData>
    <x:row r="1" ht="28" customHeight="1">
      <x:c r="A1" s="1" t="str">
        <x:v>3 GROSS-REVENUE HYPOTHESIS SCENARIOS — NOT NET-PROFIT OR RUN-RATE FORECASTS</x:v>
      </x:c>
    </x:row>
    <x:row r="3" ht="35" customHeight="1">
      <x:c r="A3" s="11" t="str">
        <x:v>Scenario</x:v>
      </x:c>
      <x:c r="B3" s="11" t="str">
        <x:v>Gross USD/asset-day</x:v>
      </x:c>
      <x:c r="C3" s="11" t="str">
        <x:v>Revenue surfaces</x:v>
      </x:c>
      <x:c r="D3" s="11" t="str">
        <x:v>Assets required</x:v>
      </x:c>
      <x:c r="E3" s="11" t="str">
        <x:v>Production rate</x:v>
      </x:c>
      <x:c r="F3" s="11" t="str">
        <x:v>Time (10 divisions)</x:v>
      </x:c>
      <x:c r="G3" s="11" t="str">
        <x:v>Time (50 divisions)</x:v>
      </x:c>
      <x:c r="H3" s="11" t="str">
        <x:v>Interpretation</x:v>
      </x:c>
    </x:row>
    <x:row r="4" ht="45" customHeight="1">
      <x:c r="A4" s="12" t="str">
        <x:v>A. Initial cohort
(5 marketplaces)</x:v>
      </x:c>
      <x:c r="B4" s="59" t="n">
        <x:f>'INPUT_ASSUMPTIONS'!$B$14</x:f>
        <x:v>0.0125</x:v>
      </x:c>
      <x:c r="C4" s="61" t="n">
        <x:f>'INPUT_ASSUMPTIONS'!$B$10</x:f>
        <x:v>5</x:v>
      </x:c>
      <x:c r="D4" s="61" t="n">
        <x:f>ROUND('INPUT_ASSUMPTIONS'!$B$2/(B4*'INPUT_ASSUMPTIONS'!$B$6*365),0)</x:f>
        <x:v>21917808</x:v>
      </x:c>
      <x:c r="E4" s="54" t="str">
        <x:f>'INPUT_ASSUMPTIONS'!$B$7&amp;"/day/div"</x:f>
        <x:v>100/day/div</x:v>
      </x:c>
      <x:c r="F4" s="63" t="n">
        <x:f>ROUND(D4/('INPUT_ASSUMPTIONS'!$B$18*'INPUT_ASSUMPTIONS'!$B$7*365),1)</x:f>
        <x:v>60</x:v>
      </x:c>
      <x:c r="G4" s="63" t="n">
        <x:f>ROUND(D4/('INPUT_ASSUMPTIONS'!$B$9*'INPUT_ASSUMPTIONS'!$B$7*365),1)</x:f>
        <x:v>12</x:v>
      </x:c>
      <x:c r="H4" s="12" t="str">
        <x:v>Heavy inventory burden; gross-revenue proxy only.</x:v>
      </x:c>
    </x:row>
    <x:row r="5" ht="45" customHeight="1">
      <x:c r="A5" s="15" t="str">
        <x:v>B. Surface-equivalent
(100 hypothetical routes)</x:v>
      </x:c>
      <x:c r="B5" s="60" t="n">
        <x:f>'INPUT_ASSUMPTIONS'!$B$15</x:f>
        <x:v>0.25</x:v>
      </x:c>
      <x:c r="C5" s="62" t="n">
        <x:f>'INPUT_ASSUMPTIONS'!$B$11</x:f>
        <x:v>100</x:v>
      </x:c>
      <x:c r="D5" s="62" t="n">
        <x:f>ROUND('INPUT_ASSUMPTIONS'!$B$2/(B5*'INPUT_ASSUMPTIONS'!$B$6*365),0)</x:f>
        <x:v>1095890</x:v>
      </x:c>
      <x:c r="E5" s="57" t="str">
        <x:f>'INPUT_ASSUMPTIONS'!$B$7&amp;"/day/div"</x:f>
        <x:v>100/day/div</x:v>
      </x:c>
      <x:c r="F5" s="64" t="n">
        <x:f>ROUND(D5/('INPUT_ASSUMPTIONS'!$B$18*'INPUT_ASSUMPTIONS'!$B$7*365),1)</x:f>
        <x:v>3</x:v>
      </x:c>
      <x:c r="G5" s="64" t="n">
        <x:f>ROUND(D5/('INPUT_ASSUMPTIONS'!$B$9*'INPUT_ASSUMPTIONS'!$B$7*365),1)</x:f>
        <x:v>0.6</x:v>
      </x:c>
      <x:c r="H5" s="15" t="str">
        <x:v>Illustrative surface-equivalent case; identical economics are unverified.</x:v>
      </x:c>
    </x:row>
    <x:row r="6" ht="45" customHeight="1">
      <x:c r="A6" s="12" t="str">
        <x:v>C. Hybrid/bundle
(upside hypothesis)</x:v>
      </x:c>
      <x:c r="B6" s="59" t="n">
        <x:f>'INPUT_ASSUMPTIONS'!$B$16</x:f>
        <x:v>1</x:v>
      </x:c>
      <x:c r="C6" s="61" t="n">
        <x:f>'INPUT_ASSUMPTIONS'!$B$11</x:f>
        <x:v>100</x:v>
      </x:c>
      <x:c r="D6" s="61" t="n">
        <x:f>ROUND('INPUT_ASSUMPTIONS'!$B$2/(B6*'INPUT_ASSUMPTIONS'!$B$6*365),0)</x:f>
        <x:v>273973</x:v>
      </x:c>
      <x:c r="E6" s="54" t="str">
        <x:f>'INPUT_ASSUMPTIONS'!$B$7&amp;"/day/div"</x:f>
        <x:v>100/day/div</x:v>
      </x:c>
      <x:c r="F6" s="63" t="n">
        <x:f>ROUND(D6/('INPUT_ASSUMPTIONS'!$B$18*'INPUT_ASSUMPTIONS'!$B$7*365),1)</x:f>
        <x:v>0.8</x:v>
      </x:c>
      <x:c r="G6" s="63" t="n">
        <x:f>ROUND(D6/('INPUT_ASSUMPTIONS'!$B$9*'INPUT_ASSUMPTIONS'!$B$7*365),1)</x:f>
        <x:v>0.2</x:v>
      </x:c>
      <x:c r="H6" s="12" t="str">
        <x:v>High-yield hybrid/bundle hypothesis; conversion and net costs are unknown.</x:v>
      </x:c>
    </x:row>
    <x:row r="8" ht="30" customHeight="1">
      <x:c r="A8" s="65" t="str">
        <x:v>Formula: assets required = target ÷ (gross USD/asset-day × projection days). Time uses formula-linked divisions and assets/day from INPUT_ASSUMPTIONS.</x:v>
      </x:c>
      <x:c r="B8" s="66"/>
      <x:c r="C8" s="66"/>
      <x:c r="D8" s="66"/>
      <x:c r="E8" s="66"/>
      <x:c r="F8" s="66"/>
      <x:c r="G8" s="66"/>
      <x:c r="H8" s="66"/>
    </x:row>
    <x:row r="9" ht="30" customHeight="1">
      <x:c r="A9" s="67" t="str">
        <x:v>Evidence boundary: supplied income screenshots are demand clues only. M-001 ERVA requires accepted asset-days plus verified external license receipts.</x:v>
      </x:c>
      <x:c r="B9" s="66"/>
      <x:c r="C9" s="66"/>
      <x:c r="D9" s="66"/>
      <x:c r="E9" s="66"/>
      <x:c r="F9" s="66"/>
      <x:c r="G9" s="66"/>
      <x:c r="H9" s="66"/>
    </x:row>
  </x:sheetData>
  <x:mergeCells>
    <x:mergeCell ref="A9:H9"/>
    <x:mergeCell ref="A8:H8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22" hidden="0" customWidth="1"/>
    <x:col min="3" max="3" width="20" hidden="0" customWidth="1"/>
    <x:col min="4" max="4" width="25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8" customHeight="1">
      <x:c r="A1" s="1" t="str">
        <x:v>36-MONTH GROSS PROXY — SCENARIO B (10 divisions × 100/day × $0.25/asset-day)</x:v>
      </x:c>
    </x:row>
    <x:row r="3" ht="30" customHeight="1">
      <x:c r="A3" s="11" t="str">
        <x:v>Month</x:v>
      </x:c>
      <x:c r="B3" s="11" t="str">
        <x:v>Cumulative inventory</x:v>
      </x:c>
      <x:c r="C3" s="11" t="str">
        <x:v>New assets/month</x:v>
      </x:c>
      <x:c r="D3" s="11" t="str">
        <x:v>License-equivalent/day (hyp.)</x:v>
      </x:c>
      <x:c r="E3" s="11" t="str">
        <x:v>Gross revenue/day</x:v>
      </x:c>
      <x:c r="F3" s="11" t="str">
        <x:v>Gross revenue/month</x:v>
      </x:c>
      <x:c r="G3" s="11" t="str">
        <x:v>Cumulative gross revenue</x:v>
      </x:c>
    </x:row>
    <x:row r="4">
      <x:c r="A4" s="19" t="n">
        <x:v>1</x:v>
      </x:c>
      <x:c r="B4" s="72" t="n">
        <x:f>C4</x:f>
        <x:v>30000</x:v>
      </x:c>
      <x:c r="C4" s="68" t="n">
        <x:f>'INPUT_ASSUMPTIONS'!$B$7*'INPUT_ASSUMPTIONS'!$B$18*'INPUT_ASSUMPTIONS'!$B$19</x:f>
        <x:v>30000</x:v>
      </x:c>
      <x:c r="D4" s="68" t="n">
        <x:f>E4/'INPUT_ASSUMPTIONS'!$B$12</x:f>
        <x:v>15000</x:v>
      </x:c>
      <x:c r="E4" s="69" t="n">
        <x:f>B4*'INPUT_ASSUMPTIONS'!$B$15</x:f>
        <x:v>7500</x:v>
      </x:c>
      <x:c r="F4" s="74" t="n">
        <x:f>E4*'INPUT_ASSUMPTIONS'!$B$19</x:f>
        <x:v>225000</x:v>
      </x:c>
      <x:c r="G4" s="74" t="n">
        <x:f>F4</x:f>
        <x:v>225000</x:v>
      </x:c>
    </x:row>
    <x:row r="5">
      <x:c r="A5" s="19" t="n">
        <x:v>2</x:v>
      </x:c>
      <x:c r="B5" s="72" t="n">
        <x:f>B4+C5</x:f>
        <x:v>60000</x:v>
      </x:c>
      <x:c r="C5" s="68" t="n">
        <x:f>'INPUT_ASSUMPTIONS'!$B$7*'INPUT_ASSUMPTIONS'!$B$18*'INPUT_ASSUMPTIONS'!$B$19</x:f>
        <x:v>30000</x:v>
      </x:c>
      <x:c r="D5" s="68" t="n">
        <x:f>E5/'INPUT_ASSUMPTIONS'!$B$12</x:f>
        <x:v>30000</x:v>
      </x:c>
      <x:c r="E5" s="69" t="n">
        <x:f>B5*'INPUT_ASSUMPTIONS'!$B$15</x:f>
        <x:v>15000</x:v>
      </x:c>
      <x:c r="F5" s="74" t="n">
        <x:f>E5*'INPUT_ASSUMPTIONS'!$B$19</x:f>
        <x:v>450000</x:v>
      </x:c>
      <x:c r="G5" s="74" t="n">
        <x:f>G4+F5</x:f>
        <x:v>675000</x:v>
      </x:c>
    </x:row>
    <x:row r="6">
      <x:c r="A6" s="19" t="n">
        <x:v>3</x:v>
      </x:c>
      <x:c r="B6" s="72" t="n">
        <x:f>B5+C6</x:f>
        <x:v>90000</x:v>
      </x:c>
      <x:c r="C6" s="68" t="n">
        <x:f>'INPUT_ASSUMPTIONS'!$B$7*'INPUT_ASSUMPTIONS'!$B$18*'INPUT_ASSUMPTIONS'!$B$19</x:f>
        <x:v>30000</x:v>
      </x:c>
      <x:c r="D6" s="68" t="n">
        <x:f>E6/'INPUT_ASSUMPTIONS'!$B$12</x:f>
        <x:v>45000</x:v>
      </x:c>
      <x:c r="E6" s="69" t="n">
        <x:f>B6*'INPUT_ASSUMPTIONS'!$B$15</x:f>
        <x:v>22500</x:v>
      </x:c>
      <x:c r="F6" s="74" t="n">
        <x:f>E6*'INPUT_ASSUMPTIONS'!$B$19</x:f>
        <x:v>675000</x:v>
      </x:c>
      <x:c r="G6" s="74" t="n">
        <x:f>G5+F6</x:f>
        <x:v>1350000</x:v>
      </x:c>
    </x:row>
    <x:row r="7">
      <x:c r="A7" s="19" t="n">
        <x:v>4</x:v>
      </x:c>
      <x:c r="B7" s="72" t="n">
        <x:f>B6+C7</x:f>
        <x:v>120000</x:v>
      </x:c>
      <x:c r="C7" s="68" t="n">
        <x:f>'INPUT_ASSUMPTIONS'!$B$7*'INPUT_ASSUMPTIONS'!$B$18*'INPUT_ASSUMPTIONS'!$B$19</x:f>
        <x:v>30000</x:v>
      </x:c>
      <x:c r="D7" s="68" t="n">
        <x:f>E7/'INPUT_ASSUMPTIONS'!$B$12</x:f>
        <x:v>60000</x:v>
      </x:c>
      <x:c r="E7" s="69" t="n">
        <x:f>B7*'INPUT_ASSUMPTIONS'!$B$15</x:f>
        <x:v>30000</x:v>
      </x:c>
      <x:c r="F7" s="74" t="n">
        <x:f>E7*'INPUT_ASSUMPTIONS'!$B$19</x:f>
        <x:v>900000</x:v>
      </x:c>
      <x:c r="G7" s="74" t="n">
        <x:f>G6+F7</x:f>
        <x:v>2250000</x:v>
      </x:c>
    </x:row>
    <x:row r="8">
      <x:c r="A8" s="19" t="n">
        <x:v>5</x:v>
      </x:c>
      <x:c r="B8" s="72" t="n">
        <x:f>B7+C8</x:f>
        <x:v>150000</x:v>
      </x:c>
      <x:c r="C8" s="68" t="n">
        <x:f>'INPUT_ASSUMPTIONS'!$B$7*'INPUT_ASSUMPTIONS'!$B$18*'INPUT_ASSUMPTIONS'!$B$19</x:f>
        <x:v>30000</x:v>
      </x:c>
      <x:c r="D8" s="68" t="n">
        <x:f>E8/'INPUT_ASSUMPTIONS'!$B$12</x:f>
        <x:v>75000</x:v>
      </x:c>
      <x:c r="E8" s="69" t="n">
        <x:f>B8*'INPUT_ASSUMPTIONS'!$B$15</x:f>
        <x:v>37500</x:v>
      </x:c>
      <x:c r="F8" s="74" t="n">
        <x:f>E8*'INPUT_ASSUMPTIONS'!$B$19</x:f>
        <x:v>1125000</x:v>
      </x:c>
      <x:c r="G8" s="74" t="n">
        <x:f>G7+F8</x:f>
        <x:v>3375000</x:v>
      </x:c>
    </x:row>
    <x:row r="9">
      <x:c r="A9" s="19" t="n">
        <x:v>6</x:v>
      </x:c>
      <x:c r="B9" s="72" t="n">
        <x:f>B8+C9</x:f>
        <x:v>180000</x:v>
      </x:c>
      <x:c r="C9" s="68" t="n">
        <x:f>'INPUT_ASSUMPTIONS'!$B$7*'INPUT_ASSUMPTIONS'!$B$18*'INPUT_ASSUMPTIONS'!$B$19</x:f>
        <x:v>30000</x:v>
      </x:c>
      <x:c r="D9" s="68" t="n">
        <x:f>E9/'INPUT_ASSUMPTIONS'!$B$12</x:f>
        <x:v>90000</x:v>
      </x:c>
      <x:c r="E9" s="69" t="n">
        <x:f>B9*'INPUT_ASSUMPTIONS'!$B$15</x:f>
        <x:v>45000</x:v>
      </x:c>
      <x:c r="F9" s="74" t="n">
        <x:f>E9*'INPUT_ASSUMPTIONS'!$B$19</x:f>
        <x:v>1350000</x:v>
      </x:c>
      <x:c r="G9" s="74" t="n">
        <x:f>G8+F9</x:f>
        <x:v>4725000</x:v>
      </x:c>
    </x:row>
    <x:row r="10">
      <x:c r="A10" s="19" t="n">
        <x:v>7</x:v>
      </x:c>
      <x:c r="B10" s="72" t="n">
        <x:f>B9+C10</x:f>
        <x:v>210000</x:v>
      </x:c>
      <x:c r="C10" s="68" t="n">
        <x:f>'INPUT_ASSUMPTIONS'!$B$7*'INPUT_ASSUMPTIONS'!$B$18*'INPUT_ASSUMPTIONS'!$B$19</x:f>
        <x:v>30000</x:v>
      </x:c>
      <x:c r="D10" s="68" t="n">
        <x:f>E10/'INPUT_ASSUMPTIONS'!$B$12</x:f>
        <x:v>105000</x:v>
      </x:c>
      <x:c r="E10" s="69" t="n">
        <x:f>B10*'INPUT_ASSUMPTIONS'!$B$15</x:f>
        <x:v>52500</x:v>
      </x:c>
      <x:c r="F10" s="74" t="n">
        <x:f>E10*'INPUT_ASSUMPTIONS'!$B$19</x:f>
        <x:v>1575000</x:v>
      </x:c>
      <x:c r="G10" s="74" t="n">
        <x:f>G9+F10</x:f>
        <x:v>6300000</x:v>
      </x:c>
    </x:row>
    <x:row r="11">
      <x:c r="A11" s="19" t="n">
        <x:v>8</x:v>
      </x:c>
      <x:c r="B11" s="72" t="n">
        <x:f>B10+C11</x:f>
        <x:v>240000</x:v>
      </x:c>
      <x:c r="C11" s="68" t="n">
        <x:f>'INPUT_ASSUMPTIONS'!$B$7*'INPUT_ASSUMPTIONS'!$B$18*'INPUT_ASSUMPTIONS'!$B$19</x:f>
        <x:v>30000</x:v>
      </x:c>
      <x:c r="D11" s="68" t="n">
        <x:f>E11/'INPUT_ASSUMPTIONS'!$B$12</x:f>
        <x:v>120000</x:v>
      </x:c>
      <x:c r="E11" s="69" t="n">
        <x:f>B11*'INPUT_ASSUMPTIONS'!$B$15</x:f>
        <x:v>60000</x:v>
      </x:c>
      <x:c r="F11" s="74" t="n">
        <x:f>E11*'INPUT_ASSUMPTIONS'!$B$19</x:f>
        <x:v>1800000</x:v>
      </x:c>
      <x:c r="G11" s="74" t="n">
        <x:f>G10+F11</x:f>
        <x:v>8100000</x:v>
      </x:c>
    </x:row>
    <x:row r="12">
      <x:c r="A12" s="19" t="n">
        <x:v>9</x:v>
      </x:c>
      <x:c r="B12" s="72" t="n">
        <x:f>B11+C12</x:f>
        <x:v>270000</x:v>
      </x:c>
      <x:c r="C12" s="68" t="n">
        <x:f>'INPUT_ASSUMPTIONS'!$B$7*'INPUT_ASSUMPTIONS'!$B$18*'INPUT_ASSUMPTIONS'!$B$19</x:f>
        <x:v>30000</x:v>
      </x:c>
      <x:c r="D12" s="68" t="n">
        <x:f>E12/'INPUT_ASSUMPTIONS'!$B$12</x:f>
        <x:v>135000</x:v>
      </x:c>
      <x:c r="E12" s="69" t="n">
        <x:f>B12*'INPUT_ASSUMPTIONS'!$B$15</x:f>
        <x:v>67500</x:v>
      </x:c>
      <x:c r="F12" s="74" t="n">
        <x:f>E12*'INPUT_ASSUMPTIONS'!$B$19</x:f>
        <x:v>2025000</x:v>
      </x:c>
      <x:c r="G12" s="74" t="n">
        <x:f>G11+F12</x:f>
        <x:v>10125000</x:v>
      </x:c>
    </x:row>
    <x:row r="13">
      <x:c r="A13" s="19" t="n">
        <x:v>10</x:v>
      </x:c>
      <x:c r="B13" s="72" t="n">
        <x:f>B12+C13</x:f>
        <x:v>300000</x:v>
      </x:c>
      <x:c r="C13" s="68" t="n">
        <x:f>'INPUT_ASSUMPTIONS'!$B$7*'INPUT_ASSUMPTIONS'!$B$18*'INPUT_ASSUMPTIONS'!$B$19</x:f>
        <x:v>30000</x:v>
      </x:c>
      <x:c r="D13" s="68" t="n">
        <x:f>E13/'INPUT_ASSUMPTIONS'!$B$12</x:f>
        <x:v>150000</x:v>
      </x:c>
      <x:c r="E13" s="69" t="n">
        <x:f>B13*'INPUT_ASSUMPTIONS'!$B$15</x:f>
        <x:v>75000</x:v>
      </x:c>
      <x:c r="F13" s="74" t="n">
        <x:f>E13*'INPUT_ASSUMPTIONS'!$B$19</x:f>
        <x:v>2250000</x:v>
      </x:c>
      <x:c r="G13" s="74" t="n">
        <x:f>G12+F13</x:f>
        <x:v>12375000</x:v>
      </x:c>
    </x:row>
    <x:row r="14">
      <x:c r="A14" s="19" t="n">
        <x:v>11</x:v>
      </x:c>
      <x:c r="B14" s="72" t="n">
        <x:f>B13+C14</x:f>
        <x:v>330000</x:v>
      </x:c>
      <x:c r="C14" s="68" t="n">
        <x:f>'INPUT_ASSUMPTIONS'!$B$7*'INPUT_ASSUMPTIONS'!$B$18*'INPUT_ASSUMPTIONS'!$B$19</x:f>
        <x:v>30000</x:v>
      </x:c>
      <x:c r="D14" s="68" t="n">
        <x:f>E14/'INPUT_ASSUMPTIONS'!$B$12</x:f>
        <x:v>165000</x:v>
      </x:c>
      <x:c r="E14" s="69" t="n">
        <x:f>B14*'INPUT_ASSUMPTIONS'!$B$15</x:f>
        <x:v>82500</x:v>
      </x:c>
      <x:c r="F14" s="74" t="n">
        <x:f>E14*'INPUT_ASSUMPTIONS'!$B$19</x:f>
        <x:v>2475000</x:v>
      </x:c>
      <x:c r="G14" s="74" t="n">
        <x:f>G13+F14</x:f>
        <x:v>14850000</x:v>
      </x:c>
    </x:row>
    <x:row r="15">
      <x:c r="A15" s="22" t="n">
        <x:v>12</x:v>
      </x:c>
      <x:c r="B15" s="73" t="n">
        <x:f>B14+C15</x:f>
        <x:v>360000</x:v>
      </x:c>
      <x:c r="C15" s="70" t="n">
        <x:f>'INPUT_ASSUMPTIONS'!$B$7*'INPUT_ASSUMPTIONS'!$B$18*'INPUT_ASSUMPTIONS'!$B$19</x:f>
        <x:v>30000</x:v>
      </x:c>
      <x:c r="D15" s="70" t="n">
        <x:f>E15/'INPUT_ASSUMPTIONS'!$B$12</x:f>
        <x:v>180000</x:v>
      </x:c>
      <x:c r="E15" s="71" t="n">
        <x:f>B15*'INPUT_ASSUMPTIONS'!$B$15</x:f>
        <x:v>90000</x:v>
      </x:c>
      <x:c r="F15" s="75" t="n">
        <x:f>E15*'INPUT_ASSUMPTIONS'!$B$19</x:f>
        <x:v>2700000</x:v>
      </x:c>
      <x:c r="G15" s="75" t="n">
        <x:f>G14+F15</x:f>
        <x:v>17550000</x:v>
      </x:c>
    </x:row>
    <x:row r="16">
      <x:c r="A16" s="19" t="n">
        <x:v>13</x:v>
      </x:c>
      <x:c r="B16" s="72" t="n">
        <x:f>B15+C16</x:f>
        <x:v>390000</x:v>
      </x:c>
      <x:c r="C16" s="68" t="n">
        <x:f>'INPUT_ASSUMPTIONS'!$B$7*'INPUT_ASSUMPTIONS'!$B$18*'INPUT_ASSUMPTIONS'!$B$19</x:f>
        <x:v>30000</x:v>
      </x:c>
      <x:c r="D16" s="68" t="n">
        <x:f>E16/'INPUT_ASSUMPTIONS'!$B$12</x:f>
        <x:v>195000</x:v>
      </x:c>
      <x:c r="E16" s="69" t="n">
        <x:f>B16*'INPUT_ASSUMPTIONS'!$B$15</x:f>
        <x:v>97500</x:v>
      </x:c>
      <x:c r="F16" s="74" t="n">
        <x:f>E16*'INPUT_ASSUMPTIONS'!$B$19</x:f>
        <x:v>2925000</x:v>
      </x:c>
      <x:c r="G16" s="74" t="n">
        <x:f>G15+F16</x:f>
        <x:v>20475000</x:v>
      </x:c>
    </x:row>
    <x:row r="17">
      <x:c r="A17" s="19" t="n">
        <x:v>14</x:v>
      </x:c>
      <x:c r="B17" s="72" t="n">
        <x:f>B16+C17</x:f>
        <x:v>420000</x:v>
      </x:c>
      <x:c r="C17" s="68" t="n">
        <x:f>'INPUT_ASSUMPTIONS'!$B$7*'INPUT_ASSUMPTIONS'!$B$18*'INPUT_ASSUMPTIONS'!$B$19</x:f>
        <x:v>30000</x:v>
      </x:c>
      <x:c r="D17" s="68" t="n">
        <x:f>E17/'INPUT_ASSUMPTIONS'!$B$12</x:f>
        <x:v>210000</x:v>
      </x:c>
      <x:c r="E17" s="69" t="n">
        <x:f>B17*'INPUT_ASSUMPTIONS'!$B$15</x:f>
        <x:v>105000</x:v>
      </x:c>
      <x:c r="F17" s="74" t="n">
        <x:f>E17*'INPUT_ASSUMPTIONS'!$B$19</x:f>
        <x:v>3150000</x:v>
      </x:c>
      <x:c r="G17" s="74" t="n">
        <x:f>G16+F17</x:f>
        <x:v>23625000</x:v>
      </x:c>
    </x:row>
    <x:row r="18">
      <x:c r="A18" s="19" t="n">
        <x:v>15</x:v>
      </x:c>
      <x:c r="B18" s="72" t="n">
        <x:f>B17+C18</x:f>
        <x:v>450000</x:v>
      </x:c>
      <x:c r="C18" s="68" t="n">
        <x:f>'INPUT_ASSUMPTIONS'!$B$7*'INPUT_ASSUMPTIONS'!$B$18*'INPUT_ASSUMPTIONS'!$B$19</x:f>
        <x:v>30000</x:v>
      </x:c>
      <x:c r="D18" s="68" t="n">
        <x:f>E18/'INPUT_ASSUMPTIONS'!$B$12</x:f>
        <x:v>225000</x:v>
      </x:c>
      <x:c r="E18" s="69" t="n">
        <x:f>B18*'INPUT_ASSUMPTIONS'!$B$15</x:f>
        <x:v>112500</x:v>
      </x:c>
      <x:c r="F18" s="74" t="n">
        <x:f>E18*'INPUT_ASSUMPTIONS'!$B$19</x:f>
        <x:v>3375000</x:v>
      </x:c>
      <x:c r="G18" s="74" t="n">
        <x:f>G17+F18</x:f>
        <x:v>27000000</x:v>
      </x:c>
    </x:row>
    <x:row r="19">
      <x:c r="A19" s="19" t="n">
        <x:v>16</x:v>
      </x:c>
      <x:c r="B19" s="72" t="n">
        <x:f>B18+C19</x:f>
        <x:v>480000</x:v>
      </x:c>
      <x:c r="C19" s="68" t="n">
        <x:f>'INPUT_ASSUMPTIONS'!$B$7*'INPUT_ASSUMPTIONS'!$B$18*'INPUT_ASSUMPTIONS'!$B$19</x:f>
        <x:v>30000</x:v>
      </x:c>
      <x:c r="D19" s="68" t="n">
        <x:f>E19/'INPUT_ASSUMPTIONS'!$B$12</x:f>
        <x:v>240000</x:v>
      </x:c>
      <x:c r="E19" s="69" t="n">
        <x:f>B19*'INPUT_ASSUMPTIONS'!$B$15</x:f>
        <x:v>120000</x:v>
      </x:c>
      <x:c r="F19" s="74" t="n">
        <x:f>E19*'INPUT_ASSUMPTIONS'!$B$19</x:f>
        <x:v>3600000</x:v>
      </x:c>
      <x:c r="G19" s="74" t="n">
        <x:f>G18+F19</x:f>
        <x:v>30600000</x:v>
      </x:c>
    </x:row>
    <x:row r="20">
      <x:c r="A20" s="19" t="n">
        <x:v>17</x:v>
      </x:c>
      <x:c r="B20" s="72" t="n">
        <x:f>B19+C20</x:f>
        <x:v>510000</x:v>
      </x:c>
      <x:c r="C20" s="68" t="n">
        <x:f>'INPUT_ASSUMPTIONS'!$B$7*'INPUT_ASSUMPTIONS'!$B$18*'INPUT_ASSUMPTIONS'!$B$19</x:f>
        <x:v>30000</x:v>
      </x:c>
      <x:c r="D20" s="68" t="n">
        <x:f>E20/'INPUT_ASSUMPTIONS'!$B$12</x:f>
        <x:v>255000</x:v>
      </x:c>
      <x:c r="E20" s="69" t="n">
        <x:f>B20*'INPUT_ASSUMPTIONS'!$B$15</x:f>
        <x:v>127500</x:v>
      </x:c>
      <x:c r="F20" s="74" t="n">
        <x:f>E20*'INPUT_ASSUMPTIONS'!$B$19</x:f>
        <x:v>3825000</x:v>
      </x:c>
      <x:c r="G20" s="74" t="n">
        <x:f>G19+F20</x:f>
        <x:v>34425000</x:v>
      </x:c>
    </x:row>
    <x:row r="21">
      <x:c r="A21" s="19" t="n">
        <x:v>18</x:v>
      </x:c>
      <x:c r="B21" s="72" t="n">
        <x:f>B20+C21</x:f>
        <x:v>540000</x:v>
      </x:c>
      <x:c r="C21" s="68" t="n">
        <x:f>'INPUT_ASSUMPTIONS'!$B$7*'INPUT_ASSUMPTIONS'!$B$18*'INPUT_ASSUMPTIONS'!$B$19</x:f>
        <x:v>30000</x:v>
      </x:c>
      <x:c r="D21" s="68" t="n">
        <x:f>E21/'INPUT_ASSUMPTIONS'!$B$12</x:f>
        <x:v>270000</x:v>
      </x:c>
      <x:c r="E21" s="69" t="n">
        <x:f>B21*'INPUT_ASSUMPTIONS'!$B$15</x:f>
        <x:v>135000</x:v>
      </x:c>
      <x:c r="F21" s="74" t="n">
        <x:f>E21*'INPUT_ASSUMPTIONS'!$B$19</x:f>
        <x:v>4050000</x:v>
      </x:c>
      <x:c r="G21" s="74" t="n">
        <x:f>G20+F21</x:f>
        <x:v>38475000</x:v>
      </x:c>
    </x:row>
    <x:row r="22">
      <x:c r="A22" s="19" t="n">
        <x:v>19</x:v>
      </x:c>
      <x:c r="B22" s="72" t="n">
        <x:f>B21+C22</x:f>
        <x:v>570000</x:v>
      </x:c>
      <x:c r="C22" s="68" t="n">
        <x:f>'INPUT_ASSUMPTIONS'!$B$7*'INPUT_ASSUMPTIONS'!$B$18*'INPUT_ASSUMPTIONS'!$B$19</x:f>
        <x:v>30000</x:v>
      </x:c>
      <x:c r="D22" s="68" t="n">
        <x:f>E22/'INPUT_ASSUMPTIONS'!$B$12</x:f>
        <x:v>285000</x:v>
      </x:c>
      <x:c r="E22" s="69" t="n">
        <x:f>B22*'INPUT_ASSUMPTIONS'!$B$15</x:f>
        <x:v>142500</x:v>
      </x:c>
      <x:c r="F22" s="74" t="n">
        <x:f>E22*'INPUT_ASSUMPTIONS'!$B$19</x:f>
        <x:v>4275000</x:v>
      </x:c>
      <x:c r="G22" s="74" t="n">
        <x:f>G21+F22</x:f>
        <x:v>42750000</x:v>
      </x:c>
    </x:row>
    <x:row r="23">
      <x:c r="A23" s="19" t="n">
        <x:v>20</x:v>
      </x:c>
      <x:c r="B23" s="72" t="n">
        <x:f>B22+C23</x:f>
        <x:v>600000</x:v>
      </x:c>
      <x:c r="C23" s="68" t="n">
        <x:f>'INPUT_ASSUMPTIONS'!$B$7*'INPUT_ASSUMPTIONS'!$B$18*'INPUT_ASSUMPTIONS'!$B$19</x:f>
        <x:v>30000</x:v>
      </x:c>
      <x:c r="D23" s="68" t="n">
        <x:f>E23/'INPUT_ASSUMPTIONS'!$B$12</x:f>
        <x:v>300000</x:v>
      </x:c>
      <x:c r="E23" s="69" t="n">
        <x:f>B23*'INPUT_ASSUMPTIONS'!$B$15</x:f>
        <x:v>150000</x:v>
      </x:c>
      <x:c r="F23" s="74" t="n">
        <x:f>E23*'INPUT_ASSUMPTIONS'!$B$19</x:f>
        <x:v>4500000</x:v>
      </x:c>
      <x:c r="G23" s="74" t="n">
        <x:f>G22+F23</x:f>
        <x:v>47250000</x:v>
      </x:c>
    </x:row>
    <x:row r="24">
      <x:c r="A24" s="19" t="n">
        <x:v>21</x:v>
      </x:c>
      <x:c r="B24" s="72" t="n">
        <x:f>B23+C24</x:f>
        <x:v>630000</x:v>
      </x:c>
      <x:c r="C24" s="68" t="n">
        <x:f>'INPUT_ASSUMPTIONS'!$B$7*'INPUT_ASSUMPTIONS'!$B$18*'INPUT_ASSUMPTIONS'!$B$19</x:f>
        <x:v>30000</x:v>
      </x:c>
      <x:c r="D24" s="68" t="n">
        <x:f>E24/'INPUT_ASSUMPTIONS'!$B$12</x:f>
        <x:v>315000</x:v>
      </x:c>
      <x:c r="E24" s="69" t="n">
        <x:f>B24*'INPUT_ASSUMPTIONS'!$B$15</x:f>
        <x:v>157500</x:v>
      </x:c>
      <x:c r="F24" s="74" t="n">
        <x:f>E24*'INPUT_ASSUMPTIONS'!$B$19</x:f>
        <x:v>4725000</x:v>
      </x:c>
      <x:c r="G24" s="74" t="n">
        <x:f>G23+F24</x:f>
        <x:v>51975000</x:v>
      </x:c>
    </x:row>
    <x:row r="25">
      <x:c r="A25" s="19" t="n">
        <x:v>22</x:v>
      </x:c>
      <x:c r="B25" s="72" t="n">
        <x:f>B24+C25</x:f>
        <x:v>660000</x:v>
      </x:c>
      <x:c r="C25" s="68" t="n">
        <x:f>'INPUT_ASSUMPTIONS'!$B$7*'INPUT_ASSUMPTIONS'!$B$18*'INPUT_ASSUMPTIONS'!$B$19</x:f>
        <x:v>30000</x:v>
      </x:c>
      <x:c r="D25" s="68" t="n">
        <x:f>E25/'INPUT_ASSUMPTIONS'!$B$12</x:f>
        <x:v>330000</x:v>
      </x:c>
      <x:c r="E25" s="69" t="n">
        <x:f>B25*'INPUT_ASSUMPTIONS'!$B$15</x:f>
        <x:v>165000</x:v>
      </x:c>
      <x:c r="F25" s="74" t="n">
        <x:f>E25*'INPUT_ASSUMPTIONS'!$B$19</x:f>
        <x:v>4950000</x:v>
      </x:c>
      <x:c r="G25" s="74" t="n">
        <x:f>G24+F25</x:f>
        <x:v>56925000</x:v>
      </x:c>
    </x:row>
    <x:row r="26">
      <x:c r="A26" s="19" t="n">
        <x:v>23</x:v>
      </x:c>
      <x:c r="B26" s="72" t="n">
        <x:f>B25+C26</x:f>
        <x:v>690000</x:v>
      </x:c>
      <x:c r="C26" s="68" t="n">
        <x:f>'INPUT_ASSUMPTIONS'!$B$7*'INPUT_ASSUMPTIONS'!$B$18*'INPUT_ASSUMPTIONS'!$B$19</x:f>
        <x:v>30000</x:v>
      </x:c>
      <x:c r="D26" s="68" t="n">
        <x:f>E26/'INPUT_ASSUMPTIONS'!$B$12</x:f>
        <x:v>345000</x:v>
      </x:c>
      <x:c r="E26" s="69" t="n">
        <x:f>B26*'INPUT_ASSUMPTIONS'!$B$15</x:f>
        <x:v>172500</x:v>
      </x:c>
      <x:c r="F26" s="74" t="n">
        <x:f>E26*'INPUT_ASSUMPTIONS'!$B$19</x:f>
        <x:v>5175000</x:v>
      </x:c>
      <x:c r="G26" s="74" t="n">
        <x:f>G25+F26</x:f>
        <x:v>62100000</x:v>
      </x:c>
    </x:row>
    <x:row r="27">
      <x:c r="A27" s="19" t="n">
        <x:v>24</x:v>
      </x:c>
      <x:c r="B27" s="72" t="n">
        <x:f>B26+C27</x:f>
        <x:v>720000</x:v>
      </x:c>
      <x:c r="C27" s="68" t="n">
        <x:f>'INPUT_ASSUMPTIONS'!$B$7*'INPUT_ASSUMPTIONS'!$B$18*'INPUT_ASSUMPTIONS'!$B$19</x:f>
        <x:v>30000</x:v>
      </x:c>
      <x:c r="D27" s="68" t="n">
        <x:f>E27/'INPUT_ASSUMPTIONS'!$B$12</x:f>
        <x:v>360000</x:v>
      </x:c>
      <x:c r="E27" s="69" t="n">
        <x:f>B27*'INPUT_ASSUMPTIONS'!$B$15</x:f>
        <x:v>180000</x:v>
      </x:c>
      <x:c r="F27" s="74" t="n">
        <x:f>E27*'INPUT_ASSUMPTIONS'!$B$19</x:f>
        <x:v>5400000</x:v>
      </x:c>
      <x:c r="G27" s="74" t="n">
        <x:f>G26+F27</x:f>
        <x:v>67500000</x:v>
      </x:c>
    </x:row>
    <x:row r="28">
      <x:c r="A28" s="19" t="n">
        <x:v>25</x:v>
      </x:c>
      <x:c r="B28" s="72" t="n">
        <x:f>B27+C28</x:f>
        <x:v>750000</x:v>
      </x:c>
      <x:c r="C28" s="68" t="n">
        <x:f>'INPUT_ASSUMPTIONS'!$B$7*'INPUT_ASSUMPTIONS'!$B$18*'INPUT_ASSUMPTIONS'!$B$19</x:f>
        <x:v>30000</x:v>
      </x:c>
      <x:c r="D28" s="68" t="n">
        <x:f>E28/'INPUT_ASSUMPTIONS'!$B$12</x:f>
        <x:v>375000</x:v>
      </x:c>
      <x:c r="E28" s="69" t="n">
        <x:f>B28*'INPUT_ASSUMPTIONS'!$B$15</x:f>
        <x:v>187500</x:v>
      </x:c>
      <x:c r="F28" s="74" t="n">
        <x:f>E28*'INPUT_ASSUMPTIONS'!$B$19</x:f>
        <x:v>5625000</x:v>
      </x:c>
      <x:c r="G28" s="74" t="n">
        <x:f>G27+F28</x:f>
        <x:v>73125000</x:v>
      </x:c>
    </x:row>
    <x:row r="29">
      <x:c r="A29" s="19" t="n">
        <x:v>26</x:v>
      </x:c>
      <x:c r="B29" s="72" t="n">
        <x:f>B28+C29</x:f>
        <x:v>780000</x:v>
      </x:c>
      <x:c r="C29" s="68" t="n">
        <x:f>'INPUT_ASSUMPTIONS'!$B$7*'INPUT_ASSUMPTIONS'!$B$18*'INPUT_ASSUMPTIONS'!$B$19</x:f>
        <x:v>30000</x:v>
      </x:c>
      <x:c r="D29" s="68" t="n">
        <x:f>E29/'INPUT_ASSUMPTIONS'!$B$12</x:f>
        <x:v>390000</x:v>
      </x:c>
      <x:c r="E29" s="69" t="n">
        <x:f>B29*'INPUT_ASSUMPTIONS'!$B$15</x:f>
        <x:v>195000</x:v>
      </x:c>
      <x:c r="F29" s="74" t="n">
        <x:f>E29*'INPUT_ASSUMPTIONS'!$B$19</x:f>
        <x:v>5850000</x:v>
      </x:c>
      <x:c r="G29" s="74" t="n">
        <x:f>G28+F29</x:f>
        <x:v>78975000</x:v>
      </x:c>
    </x:row>
    <x:row r="30">
      <x:c r="A30" s="19" t="n">
        <x:v>27</x:v>
      </x:c>
      <x:c r="B30" s="72" t="n">
        <x:f>B29+C30</x:f>
        <x:v>810000</x:v>
      </x:c>
      <x:c r="C30" s="68" t="n">
        <x:f>'INPUT_ASSUMPTIONS'!$B$7*'INPUT_ASSUMPTIONS'!$B$18*'INPUT_ASSUMPTIONS'!$B$19</x:f>
        <x:v>30000</x:v>
      </x:c>
      <x:c r="D30" s="68" t="n">
        <x:f>E30/'INPUT_ASSUMPTIONS'!$B$12</x:f>
        <x:v>405000</x:v>
      </x:c>
      <x:c r="E30" s="69" t="n">
        <x:f>B30*'INPUT_ASSUMPTIONS'!$B$15</x:f>
        <x:v>202500</x:v>
      </x:c>
      <x:c r="F30" s="74" t="n">
        <x:f>E30*'INPUT_ASSUMPTIONS'!$B$19</x:f>
        <x:v>6075000</x:v>
      </x:c>
      <x:c r="G30" s="74" t="n">
        <x:f>G29+F30</x:f>
        <x:v>85050000</x:v>
      </x:c>
    </x:row>
    <x:row r="31">
      <x:c r="A31" s="19" t="n">
        <x:v>28</x:v>
      </x:c>
      <x:c r="B31" s="72" t="n">
        <x:f>B30+C31</x:f>
        <x:v>840000</x:v>
      </x:c>
      <x:c r="C31" s="68" t="n">
        <x:f>'INPUT_ASSUMPTIONS'!$B$7*'INPUT_ASSUMPTIONS'!$B$18*'INPUT_ASSUMPTIONS'!$B$19</x:f>
        <x:v>30000</x:v>
      </x:c>
      <x:c r="D31" s="68" t="n">
        <x:f>E31/'INPUT_ASSUMPTIONS'!$B$12</x:f>
        <x:v>420000</x:v>
      </x:c>
      <x:c r="E31" s="69" t="n">
        <x:f>B31*'INPUT_ASSUMPTIONS'!$B$15</x:f>
        <x:v>210000</x:v>
      </x:c>
      <x:c r="F31" s="74" t="n">
        <x:f>E31*'INPUT_ASSUMPTIONS'!$B$19</x:f>
        <x:v>6300000</x:v>
      </x:c>
      <x:c r="G31" s="74" t="n">
        <x:f>G30+F31</x:f>
        <x:v>91350000</x:v>
      </x:c>
    </x:row>
    <x:row r="32">
      <x:c r="A32" s="19" t="n">
        <x:v>29</x:v>
      </x:c>
      <x:c r="B32" s="72" t="n">
        <x:f>B31+C32</x:f>
        <x:v>870000</x:v>
      </x:c>
      <x:c r="C32" s="68" t="n">
        <x:f>'INPUT_ASSUMPTIONS'!$B$7*'INPUT_ASSUMPTIONS'!$B$18*'INPUT_ASSUMPTIONS'!$B$19</x:f>
        <x:v>30000</x:v>
      </x:c>
      <x:c r="D32" s="68" t="n">
        <x:f>E32/'INPUT_ASSUMPTIONS'!$B$12</x:f>
        <x:v>435000</x:v>
      </x:c>
      <x:c r="E32" s="69" t="n">
        <x:f>B32*'INPUT_ASSUMPTIONS'!$B$15</x:f>
        <x:v>217500</x:v>
      </x:c>
      <x:c r="F32" s="74" t="n">
        <x:f>E32*'INPUT_ASSUMPTIONS'!$B$19</x:f>
        <x:v>6525000</x:v>
      </x:c>
      <x:c r="G32" s="74" t="n">
        <x:f>G31+F32</x:f>
        <x:v>97875000</x:v>
      </x:c>
    </x:row>
    <x:row r="33">
      <x:c r="A33" s="19" t="n">
        <x:v>30</x:v>
      </x:c>
      <x:c r="B33" s="72" t="n">
        <x:f>B32+C33</x:f>
        <x:v>900000</x:v>
      </x:c>
      <x:c r="C33" s="68" t="n">
        <x:f>'INPUT_ASSUMPTIONS'!$B$7*'INPUT_ASSUMPTIONS'!$B$18*'INPUT_ASSUMPTIONS'!$B$19</x:f>
        <x:v>30000</x:v>
      </x:c>
      <x:c r="D33" s="68" t="n">
        <x:f>E33/'INPUT_ASSUMPTIONS'!$B$12</x:f>
        <x:v>450000</x:v>
      </x:c>
      <x:c r="E33" s="69" t="n">
        <x:f>B33*'INPUT_ASSUMPTIONS'!$B$15</x:f>
        <x:v>225000</x:v>
      </x:c>
      <x:c r="F33" s="74" t="n">
        <x:f>E33*'INPUT_ASSUMPTIONS'!$B$19</x:f>
        <x:v>6750000</x:v>
      </x:c>
      <x:c r="G33" s="74" t="n">
        <x:f>G32+F33</x:f>
        <x:v>104625000</x:v>
      </x:c>
    </x:row>
    <x:row r="34">
      <x:c r="A34" s="19" t="n">
        <x:v>31</x:v>
      </x:c>
      <x:c r="B34" s="72" t="n">
        <x:f>B33+C34</x:f>
        <x:v>930000</x:v>
      </x:c>
      <x:c r="C34" s="68" t="n">
        <x:f>'INPUT_ASSUMPTIONS'!$B$7*'INPUT_ASSUMPTIONS'!$B$18*'INPUT_ASSUMPTIONS'!$B$19</x:f>
        <x:v>30000</x:v>
      </x:c>
      <x:c r="D34" s="68" t="n">
        <x:f>E34/'INPUT_ASSUMPTIONS'!$B$12</x:f>
        <x:v>465000</x:v>
      </x:c>
      <x:c r="E34" s="69" t="n">
        <x:f>B34*'INPUT_ASSUMPTIONS'!$B$15</x:f>
        <x:v>232500</x:v>
      </x:c>
      <x:c r="F34" s="74" t="n">
        <x:f>E34*'INPUT_ASSUMPTIONS'!$B$19</x:f>
        <x:v>6975000</x:v>
      </x:c>
      <x:c r="G34" s="74" t="n">
        <x:f>G33+F34</x:f>
        <x:v>111600000</x:v>
      </x:c>
    </x:row>
    <x:row r="35">
      <x:c r="A35" s="19" t="n">
        <x:v>32</x:v>
      </x:c>
      <x:c r="B35" s="72" t="n">
        <x:f>B34+C35</x:f>
        <x:v>960000</x:v>
      </x:c>
      <x:c r="C35" s="68" t="n">
        <x:f>'INPUT_ASSUMPTIONS'!$B$7*'INPUT_ASSUMPTIONS'!$B$18*'INPUT_ASSUMPTIONS'!$B$19</x:f>
        <x:v>30000</x:v>
      </x:c>
      <x:c r="D35" s="68" t="n">
        <x:f>E35/'INPUT_ASSUMPTIONS'!$B$12</x:f>
        <x:v>480000</x:v>
      </x:c>
      <x:c r="E35" s="69" t="n">
        <x:f>B35*'INPUT_ASSUMPTIONS'!$B$15</x:f>
        <x:v>240000</x:v>
      </x:c>
      <x:c r="F35" s="74" t="n">
        <x:f>E35*'INPUT_ASSUMPTIONS'!$B$19</x:f>
        <x:v>7200000</x:v>
      </x:c>
      <x:c r="G35" s="74" t="n">
        <x:f>G34+F35</x:f>
        <x:v>118800000</x:v>
      </x:c>
    </x:row>
    <x:row r="36">
      <x:c r="A36" s="19" t="n">
        <x:v>33</x:v>
      </x:c>
      <x:c r="B36" s="72" t="n">
        <x:f>B35+C36</x:f>
        <x:v>990000</x:v>
      </x:c>
      <x:c r="C36" s="68" t="n">
        <x:f>'INPUT_ASSUMPTIONS'!$B$7*'INPUT_ASSUMPTIONS'!$B$18*'INPUT_ASSUMPTIONS'!$B$19</x:f>
        <x:v>30000</x:v>
      </x:c>
      <x:c r="D36" s="68" t="n">
        <x:f>E36/'INPUT_ASSUMPTIONS'!$B$12</x:f>
        <x:v>495000</x:v>
      </x:c>
      <x:c r="E36" s="69" t="n">
        <x:f>B36*'INPUT_ASSUMPTIONS'!$B$15</x:f>
        <x:v>247500</x:v>
      </x:c>
      <x:c r="F36" s="74" t="n">
        <x:f>E36*'INPUT_ASSUMPTIONS'!$B$19</x:f>
        <x:v>7425000</x:v>
      </x:c>
      <x:c r="G36" s="74" t="n">
        <x:f>G35+F36</x:f>
        <x:v>126225000</x:v>
      </x:c>
    </x:row>
    <x:row r="37">
      <x:c r="A37" s="19" t="n">
        <x:v>34</x:v>
      </x:c>
      <x:c r="B37" s="72" t="n">
        <x:f>B36+C37</x:f>
        <x:v>1020000</x:v>
      </x:c>
      <x:c r="C37" s="68" t="n">
        <x:f>'INPUT_ASSUMPTIONS'!$B$7*'INPUT_ASSUMPTIONS'!$B$18*'INPUT_ASSUMPTIONS'!$B$19</x:f>
        <x:v>30000</x:v>
      </x:c>
      <x:c r="D37" s="68" t="n">
        <x:f>E37/'INPUT_ASSUMPTIONS'!$B$12</x:f>
        <x:v>510000</x:v>
      </x:c>
      <x:c r="E37" s="69" t="n">
        <x:f>B37*'INPUT_ASSUMPTIONS'!$B$15</x:f>
        <x:v>255000</x:v>
      </x:c>
      <x:c r="F37" s="74" t="n">
        <x:f>E37*'INPUT_ASSUMPTIONS'!$B$19</x:f>
        <x:v>7650000</x:v>
      </x:c>
      <x:c r="G37" s="74" t="n">
        <x:f>G36+F37</x:f>
        <x:v>133875000</x:v>
      </x:c>
    </x:row>
    <x:row r="38">
      <x:c r="A38" s="19" t="n">
        <x:v>35</x:v>
      </x:c>
      <x:c r="B38" s="72" t="n">
        <x:f>B37+C38</x:f>
        <x:v>1050000</x:v>
      </x:c>
      <x:c r="C38" s="68" t="n">
        <x:f>'INPUT_ASSUMPTIONS'!$B$7*'INPUT_ASSUMPTIONS'!$B$18*'INPUT_ASSUMPTIONS'!$B$19</x:f>
        <x:v>30000</x:v>
      </x:c>
      <x:c r="D38" s="68" t="n">
        <x:f>E38/'INPUT_ASSUMPTIONS'!$B$12</x:f>
        <x:v>525000</x:v>
      </x:c>
      <x:c r="E38" s="69" t="n">
        <x:f>B38*'INPUT_ASSUMPTIONS'!$B$15</x:f>
        <x:v>262500</x:v>
      </x:c>
      <x:c r="F38" s="74" t="n">
        <x:f>E38*'INPUT_ASSUMPTIONS'!$B$19</x:f>
        <x:v>7875000</x:v>
      </x:c>
      <x:c r="G38" s="74" t="n">
        <x:f>G37+F38</x:f>
        <x:v>141750000</x:v>
      </x:c>
    </x:row>
    <x:row r="39">
      <x:c r="A39" s="22" t="n">
        <x:v>36</x:v>
      </x:c>
      <x:c r="B39" s="73" t="n">
        <x:f>B38+C39</x:f>
        <x:v>1080000</x:v>
      </x:c>
      <x:c r="C39" s="70" t="n">
        <x:f>'INPUT_ASSUMPTIONS'!$B$7*'INPUT_ASSUMPTIONS'!$B$18*'INPUT_ASSUMPTIONS'!$B$19</x:f>
        <x:v>30000</x:v>
      </x:c>
      <x:c r="D39" s="70" t="n">
        <x:f>E39/'INPUT_ASSUMPTIONS'!$B$12</x:f>
        <x:v>540000</x:v>
      </x:c>
      <x:c r="E39" s="71" t="n">
        <x:f>B39*'INPUT_ASSUMPTIONS'!$B$15</x:f>
        <x:v>270000</x:v>
      </x:c>
      <x:c r="F39" s="75" t="n">
        <x:f>E39*'INPUT_ASSUMPTIONS'!$B$19</x:f>
        <x:v>8100000</x:v>
      </x:c>
      <x:c r="G39" s="75" t="n">
        <x:f>G38+F39</x:f>
        <x:v>149850000</x:v>
      </x:c>
    </x:row>
    <x:row r="41" ht="52" customHeight="1">
      <x:c r="A41" s="76" t="str">
        <x:v>HYPOTHESIS ONLY: $0.25 gross/asset-day is an equal-economics 100-surface proxy. Month 36 reaches 1.08M assets and $149.85M cumulative gross revenue under constant inputs; this is not net profit, run-rate, observed ERVA, or proof of $1B/3Y feasibility.</x:v>
      </x:c>
      <x:c r="B41" s="66"/>
      <x:c r="C41" s="66"/>
      <x:c r="D41" s="66"/>
      <x:c r="E41" s="66"/>
      <x:c r="F41" s="66"/>
      <x:c r="G41" s="66"/>
    </x:row>
  </x:sheetData>
  <x:mergeCells>
    <x:mergeCell ref="A41:G41"/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</x:cols>
  <x:sheetData>
    <x:row r="1" ht="28" customHeight="1">
      <x:c r="A1" s="77" t="str">
        <x:v>MODEL CHECKS — INTERNAL MECHANICS ONLY</x:v>
      </x:c>
      <x:c r="B1" s="77"/>
      <x:c r="C1" s="77"/>
      <x:c r="D1" s="77"/>
      <x:c r="E1" s="77"/>
      <x:c r="F1" s="77"/>
    </x:row>
    <x:row r="3">
      <x:c r="A3" s="29" t="str">
        <x:v>Check</x:v>
      </x:c>
      <x:c r="B3" s="29" t="str">
        <x:v>Actual</x:v>
      </x:c>
      <x:c r="C3" s="29" t="str">
        <x:v>Expected</x:v>
      </x:c>
      <x:c r="D3" s="29" t="str">
        <x:v>Difference</x:v>
      </x:c>
      <x:c r="E3" s="29" t="str">
        <x:v>Tolerance</x:v>
      </x:c>
      <x:c r="F3" s="29" t="str">
        <x:v>Status</x:v>
      </x:c>
    </x:row>
    <x:row r="4">
      <x:c r="A4" s="78" t="str">
        <x:v>Initial marketplace count excludes Magnific</x:v>
      </x:c>
      <x:c r="B4" s="82" t="n">
        <x:f>'INPUT_ASSUMPTIONS'!$B$10</x:f>
        <x:v>5</x:v>
      </x:c>
      <x:c r="C4" s="82" t="n">
        <x:f>5</x:f>
        <x:v>5</x:v>
      </x:c>
      <x:c r="D4" s="83" t="n">
        <x:f>B4-C4</x:f>
        <x:v>0</x:v>
      </x:c>
      <x:c r="E4" s="83" t="n">
        <x:v>0</x:v>
      </x:c>
      <x:c r="F4" s="78" t="str">
        <x:f>IF(ABS(D4)&lt;=E4,"OK","FAIL")</x:f>
        <x:v>OK</x:v>
      </x:c>
    </x:row>
    <x:row r="5">
      <x:c r="A5" s="78" t="str">
        <x:v>Initial-cohort gross rate ties to assumptions</x:v>
      </x:c>
      <x:c r="B5" s="80" t="n">
        <x:f>'INPUT_ASSUMPTIONS'!$B$14</x:f>
        <x:v>0.0125</x:v>
      </x:c>
      <x:c r="C5" s="80" t="n">
        <x:f>'INPUT_ASSUMPTIONS'!$B$13*'INPUT_ASSUMPTIONS'!$B$12/100*'INPUT_ASSUMPTIONS'!$B$10</x:f>
        <x:v>0.0125</x:v>
      </x:c>
      <x:c r="D5" s="81" t="n">
        <x:f>B5-C5</x:f>
        <x:v>0</x:v>
      </x:c>
      <x:c r="E5" s="81" t="n">
        <x:v>1e-7</x:v>
      </x:c>
      <x:c r="F5" s="78" t="str">
        <x:f>IF(ABS(D5)&lt;=E5,"OK","FAIL")</x:f>
        <x:v>OK</x:v>
      </x:c>
    </x:row>
    <x:row r="6">
      <x:c r="A6" s="78" t="str">
        <x:v>Scenario A rate links to assumptions</x:v>
      </x:c>
      <x:c r="B6" s="80" t="n">
        <x:f>'SCENARIOS_$1B'!$B$4</x:f>
        <x:v>0.0125</x:v>
      </x:c>
      <x:c r="C6" s="80" t="n">
        <x:f>'INPUT_ASSUMPTIONS'!$B$14</x:f>
        <x:v>0.0125</x:v>
      </x:c>
      <x:c r="D6" s="81" t="n">
        <x:f>B6-C6</x:f>
        <x:v>0</x:v>
      </x:c>
      <x:c r="E6" s="81" t="n">
        <x:v>1e-7</x:v>
      </x:c>
      <x:c r="F6" s="78" t="str">
        <x:f>IF(ABS(D6)&lt;=E6,"OK","FAIL")</x:f>
        <x:v>OK</x:v>
      </x:c>
    </x:row>
    <x:row r="7">
      <x:c r="A7" s="78" t="str">
        <x:v>Month-36 cumulative equals monthly sum</x:v>
      </x:c>
      <x:c r="B7" s="82" t="n">
        <x:f>'COMPOUNDING_36_MONTHS'!$G$39</x:f>
        <x:v>149850000</x:v>
      </x:c>
      <x:c r="C7" s="82" t="n">
        <x:f>SUM('COMPOUNDING_36_MONTHS'!$F$4:$F$39)</x:f>
        <x:v>149850000</x:v>
      </x:c>
      <x:c r="D7" s="81" t="n">
        <x:f>B7-C7</x:f>
        <x:v>0</x:v>
      </x:c>
      <x:c r="E7" s="81" t="n">
        <x:v>0.01</x:v>
      </x:c>
      <x:c r="F7" s="78" t="str">
        <x:f>IF(ABS(D7)&lt;=E7,"OK","FAIL")</x:f>
        <x:v>OK</x:v>
      </x:c>
    </x:row>
    <x:row r="9" ht="34" customHeight="1">
      <x:c r="A9" s="35" t="str">
        <x:v>MODEL STATUS covers formula mechanics only. Commercial assumptions remain HYPOTHESIS until platform review and verified revenue receipts exist.</x:v>
      </x:c>
      <x:c r="B9" s="35"/>
      <x:c r="C9" s="35"/>
      <x:c r="D9" s="35"/>
      <x:c r="E9" s="35"/>
      <x:c r="F9" s="35"/>
    </x:row>
  </x:sheetData>
  <x:mergeCells>
    <x:mergeCell ref="A1:F1"/>
    <x:mergeCell ref="A9:F9"/>
  </x:mergeCells>
  <x:conditionalFormatting sqref="F4:F7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